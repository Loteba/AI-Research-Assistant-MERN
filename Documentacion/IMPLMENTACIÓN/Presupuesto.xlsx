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hyo\Downloads\"/>
    </mc:Choice>
  </mc:AlternateContent>
  <xr:revisionPtr revIDLastSave="0" documentId="8_{CE369D31-0FD9-4F6B-8DA9-03FA7B2FEA4B}" xr6:coauthVersionLast="36" xr6:coauthVersionMax="36" xr10:uidLastSave="{00000000-0000-0000-0000-000000000000}"/>
  <bookViews>
    <workbookView xWindow="0" yWindow="0" windowWidth="21570" windowHeight="7890" xr2:uid="{C95441B1-E214-496D-B8FA-4E147A718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<sst xmlns="http://schemas.openxmlformats.org/spreadsheetml/2006/main" count="62" uniqueCount="51">
  <si>
    <t>Rol</t>
  </si>
  <si>
    <t>Cantidad</t>
  </si>
  <si>
    <t>Tarifa mensual aprox. (S/.)</t>
  </si>
  <si>
    <t>Meses</t>
  </si>
  <si>
    <t>Subtotal (S/.)</t>
  </si>
  <si>
    <t>Project Manager</t>
  </si>
  <si>
    <t>Scrum Master / Programador</t>
  </si>
  <si>
    <t>Programador Full Stack</t>
  </si>
  <si>
    <t>Programador IA</t>
  </si>
  <si>
    <t>Tester QA</t>
  </si>
  <si>
    <t>Informes / Auditoría</t>
  </si>
  <si>
    <t>Subtotal Recursos Humanos</t>
  </si>
  <si>
    <t>Recurso</t>
  </si>
  <si>
    <t>Costo Unitario (S/.)</t>
  </si>
  <si>
    <t>Servidor en la nube (AWS/Azure/GCP)</t>
  </si>
  <si>
    <t>MongoDB Atlas (plan intermedio)</t>
  </si>
  <si>
    <t>Licencia API OpenAI (uso académico)</t>
  </si>
  <si>
    <t>Licencia n8n (SaaS o hosting dedicado)</t>
  </si>
  <si>
    <t>Docker + GitHub (repositorios privados, CI/CD)</t>
  </si>
  <si>
    <t>Subtotal Infraestructura</t>
  </si>
  <si>
    <t>Costo Mensual (S/.)</t>
  </si>
  <si>
    <t>Jira / Trello / Slack</t>
  </si>
  <si>
    <t>Paquete Office / Google Workspace</t>
  </si>
  <si>
    <t>Herramientas de pruebas (Cypress, Jest – en su mayoría open source)</t>
  </si>
  <si>
    <t>-</t>
  </si>
  <si>
    <t>Subtotal Herramientas</t>
  </si>
  <si>
    <t>4. Costos Operativos y Contingencias</t>
  </si>
  <si>
    <t>Concepto</t>
  </si>
  <si>
    <t>Monto (S/.)</t>
  </si>
  <si>
    <t>Capacitaciones iniciales (IA, n8n, seguridad)</t>
  </si>
  <si>
    <t>Comunicaciones / Internet / Hosting adicional</t>
  </si>
  <si>
    <t>Gastos administrativos (documentación, presentaciones, auditoría)</t>
  </si>
  <si>
    <t>Contingencia (5% del presupuesto total)</t>
  </si>
  <si>
    <t>Subtotal Operativo y Contingencia</t>
  </si>
  <si>
    <t>Recursos Humanos (12 semanas – 3 meses)</t>
  </si>
  <si>
    <t>Infraestructura Tecnológica</t>
  </si>
  <si>
    <t>Herramientas y Software de Apoyo</t>
  </si>
  <si>
    <t>Justificación</t>
  </si>
  <si>
    <t>Línea Base de Costo</t>
  </si>
  <si>
    <t>Suma de los costos de los paquetes de trabajo (recursos humanos, infraestructura, herramientas y operativos).</t>
  </si>
  <si>
    <t>Reserva de Contingencia (15%)</t>
  </si>
  <si>
    <t>Para cubrir riesgos conocidos (ej. mayor consumo de API, ampliación de infraestructura).</t>
  </si>
  <si>
    <t>Reserva de Gestión (10%)</t>
  </si>
  <si>
    <t>Para cubrir riesgos desconocidos y decisiones del patrocinador (ej. integración con nuevas APIs).</t>
  </si>
  <si>
    <t>Total de Presupuesto</t>
  </si>
  <si>
    <t>Suma total del presupuesto incluyendo reservas.</t>
  </si>
  <si>
    <t>FINANCIAMIENTO</t>
  </si>
  <si>
    <t>Recursos Propios</t>
  </si>
  <si>
    <t>Recursos Terceros</t>
  </si>
  <si>
    <t>Reserva de Contingencia</t>
  </si>
  <si>
    <t>Reserva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</si>
</sst>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5" formatCode="&quot;S/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/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44" fontId="0" fillId="0" borderId="0" xfId="1" applyFont="1"/>
    <xf numFmtId="0" fontId="0" fillId="0" borderId="1" xfId="0" applyBorder="1" applyAlignment="1">
      <alignment wrapText="1"/>
    </xf>
    <xf numFmtId="44" fontId="0" fillId="0" borderId="1" xfId="1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0" fontId="0" fillId="2" borderId="2" xfId="0" applyFill="1" applyBorder="1"/>
    <xf numFmtId="165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wrapText="1"/>
    </xf>
    <xf numFmtId="44" fontId="0" fillId="2" borderId="2" xfId="1" applyFont="1" applyFill="1" applyBorder="1"/>
    <xf numFmtId="0" fontId="0" fillId="4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/>
    <xf numFmtId="0" fontId="0" fillId="0" borderId="3" xfId="0" applyBorder="1"/>
    <xf numFmtId="4" fontId="0" fillId="0" borderId="0" xfId="0" applyNumberFormat="1" applyBorder="1"/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/>
    <xf numFmtId="4" fontId="0" fillId="0" borderId="6" xfId="0" applyNumberFormat="1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0" xfId="0" applyNumberFormat="1" applyBorder="1"/>
    <xf numFmtId="9" fontId="0" fillId="0" borderId="4" xfId="0" applyNumberFormat="1" applyBorder="1"/>
    <xf numFmtId="9" fontId="0" fillId="0" borderId="6" xfId="0" applyNumberFormat="1" applyBorder="1"/>
    <xf numFmtId="9" fontId="0" fillId="0" borderId="7" xfId="0" applyNumberFormat="1" applyBorder="1"/>
    <xf numFmtId="0" fontId="2" fillId="0" borderId="8" xfId="0" applyFont="1" applyBorder="1" applyAlignment="1">
      <alignment horizontal="center"/>
    </xf>
    <xf numFmtId="0" fontId="2" fillId="0" borderId="10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8B7C-DF07-45B9-B017-C7A51D059B0D}">
  <dimension ref="A1:E49"/>
  <sheetViews>
    <sheetView tabSelected="1" zoomScale="130" zoomScaleNormal="130" workbookViewId="0">
      <selection activeCell="D54" sqref="D54"/>
    </sheetView>
  </sheetViews>
  <sheetFormatPr baseColWidth="10" defaultRowHeight="15" x14ac:dyDescent="0.25"/>
  <cols>
    <col min="1" max="1" width="27.7109375" customWidth="1"/>
    <col min="2" max="2" width="16.42578125" customWidth="1"/>
    <col min="3" max="3" width="20" customWidth="1"/>
    <col min="4" max="4" width="21.5703125" customWidth="1"/>
    <col min="5" max="5" width="18.85546875" customWidth="1"/>
  </cols>
  <sheetData>
    <row r="1" spans="1:5" x14ac:dyDescent="0.25">
      <c r="A1" s="4" t="s">
        <v>34</v>
      </c>
      <c r="B1" s="4"/>
      <c r="C1" s="4"/>
      <c r="D1" s="4"/>
      <c r="E1" s="4"/>
    </row>
    <row r="2" spans="1: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x14ac:dyDescent="0.25">
      <c r="A3" t="s">
        <v>5</v>
      </c>
      <c r="B3" s="1">
        <v>1</v>
      </c>
      <c r="C3" s="3">
        <v>7000</v>
      </c>
      <c r="D3" s="1">
        <v>3</v>
      </c>
      <c r="E3" s="6">
        <v>21000</v>
      </c>
    </row>
    <row r="4" spans="1:5" x14ac:dyDescent="0.25">
      <c r="A4" t="s">
        <v>6</v>
      </c>
      <c r="B4" s="1">
        <v>1</v>
      </c>
      <c r="C4" s="3">
        <v>6000</v>
      </c>
      <c r="D4" s="1">
        <v>3</v>
      </c>
      <c r="E4" s="6">
        <v>18000</v>
      </c>
    </row>
    <row r="5" spans="1:5" x14ac:dyDescent="0.25">
      <c r="A5" t="s">
        <v>7</v>
      </c>
      <c r="B5" s="1">
        <v>2</v>
      </c>
      <c r="C5" s="3">
        <v>5500</v>
      </c>
      <c r="D5" s="1">
        <v>3</v>
      </c>
      <c r="E5" s="6">
        <v>33000</v>
      </c>
    </row>
    <row r="6" spans="1:5" x14ac:dyDescent="0.25">
      <c r="A6" t="s">
        <v>8</v>
      </c>
      <c r="B6" s="1">
        <v>1</v>
      </c>
      <c r="C6" s="3">
        <v>6500</v>
      </c>
      <c r="D6" s="1">
        <v>3</v>
      </c>
      <c r="E6" s="6">
        <v>19500</v>
      </c>
    </row>
    <row r="7" spans="1:5" x14ac:dyDescent="0.25">
      <c r="A7" t="s">
        <v>9</v>
      </c>
      <c r="B7" s="1">
        <v>1</v>
      </c>
      <c r="C7" s="3">
        <v>4500</v>
      </c>
      <c r="D7" s="1">
        <v>3</v>
      </c>
      <c r="E7" s="6">
        <v>13500</v>
      </c>
    </row>
    <row r="8" spans="1:5" x14ac:dyDescent="0.25">
      <c r="A8" s="7" t="s">
        <v>10</v>
      </c>
      <c r="B8" s="8">
        <v>2</v>
      </c>
      <c r="C8" s="9">
        <v>4000</v>
      </c>
      <c r="D8" s="8">
        <v>3</v>
      </c>
      <c r="E8" s="10">
        <v>24000</v>
      </c>
    </row>
    <row r="9" spans="1:5" x14ac:dyDescent="0.25">
      <c r="A9" s="18" t="s">
        <v>11</v>
      </c>
      <c r="B9" s="18"/>
      <c r="C9" s="18"/>
      <c r="D9" s="18"/>
      <c r="E9" s="19">
        <f>SUM(E3:E8)</f>
        <v>129000</v>
      </c>
    </row>
    <row r="10" spans="1:5" x14ac:dyDescent="0.25">
      <c r="A10" s="11"/>
      <c r="B10" s="11"/>
      <c r="C10" s="11"/>
      <c r="D10" s="11"/>
      <c r="E10" s="11"/>
    </row>
    <row r="11" spans="1:5" x14ac:dyDescent="0.25">
      <c r="A11" s="16" t="s">
        <v>35</v>
      </c>
      <c r="B11" s="16"/>
      <c r="C11" s="16"/>
      <c r="D11" s="16"/>
      <c r="E11" s="16"/>
    </row>
    <row r="12" spans="1:5" x14ac:dyDescent="0.25">
      <c r="A12" s="17" t="s">
        <v>12</v>
      </c>
      <c r="B12" s="17" t="s">
        <v>1</v>
      </c>
      <c r="C12" s="17" t="s">
        <v>13</v>
      </c>
      <c r="D12" s="17" t="s">
        <v>3</v>
      </c>
      <c r="E12" s="17" t="s">
        <v>4</v>
      </c>
    </row>
    <row r="13" spans="1:5" ht="30" x14ac:dyDescent="0.25">
      <c r="A13" s="12" t="s">
        <v>14</v>
      </c>
      <c r="B13" s="1">
        <v>1</v>
      </c>
      <c r="C13" s="3">
        <v>1000</v>
      </c>
      <c r="D13" s="1">
        <v>3</v>
      </c>
      <c r="E13" s="13">
        <v>3000</v>
      </c>
    </row>
    <row r="14" spans="1:5" ht="30" x14ac:dyDescent="0.25">
      <c r="A14" s="12" t="s">
        <v>15</v>
      </c>
      <c r="B14" s="1">
        <v>1</v>
      </c>
      <c r="C14" s="1">
        <v>600</v>
      </c>
      <c r="D14" s="1">
        <v>3</v>
      </c>
      <c r="E14" s="13">
        <v>1800</v>
      </c>
    </row>
    <row r="15" spans="1:5" ht="30" x14ac:dyDescent="0.25">
      <c r="A15" s="12" t="s">
        <v>16</v>
      </c>
      <c r="B15" s="1">
        <v>1</v>
      </c>
      <c r="C15" s="1">
        <v>800</v>
      </c>
      <c r="D15" s="1">
        <v>3</v>
      </c>
      <c r="E15" s="13">
        <v>2400</v>
      </c>
    </row>
    <row r="16" spans="1:5" ht="30" x14ac:dyDescent="0.25">
      <c r="A16" s="12" t="s">
        <v>17</v>
      </c>
      <c r="B16" s="1">
        <v>1</v>
      </c>
      <c r="C16" s="1">
        <v>500</v>
      </c>
      <c r="D16" s="1">
        <v>3</v>
      </c>
      <c r="E16" s="13">
        <v>1500</v>
      </c>
    </row>
    <row r="17" spans="1:5" ht="30" x14ac:dyDescent="0.25">
      <c r="A17" s="14" t="s">
        <v>18</v>
      </c>
      <c r="B17" s="8">
        <v>1</v>
      </c>
      <c r="C17" s="8">
        <v>400</v>
      </c>
      <c r="D17" s="8">
        <v>3</v>
      </c>
      <c r="E17" s="15">
        <v>1200</v>
      </c>
    </row>
    <row r="18" spans="1:5" x14ac:dyDescent="0.25">
      <c r="A18" s="20" t="s">
        <v>19</v>
      </c>
      <c r="B18" s="18"/>
      <c r="C18" s="18"/>
      <c r="D18" s="18"/>
      <c r="E18" s="21">
        <v>9900</v>
      </c>
    </row>
    <row r="19" spans="1:5" x14ac:dyDescent="0.25">
      <c r="A19" s="29"/>
      <c r="B19" s="29"/>
      <c r="C19" s="29"/>
      <c r="D19" s="29"/>
      <c r="E19" s="29"/>
    </row>
    <row r="20" spans="1:5" x14ac:dyDescent="0.25">
      <c r="A20" s="28" t="s">
        <v>36</v>
      </c>
      <c r="B20" s="28"/>
      <c r="C20" s="28"/>
      <c r="D20" s="28"/>
      <c r="E20" s="28"/>
    </row>
    <row r="21" spans="1:5" x14ac:dyDescent="0.25">
      <c r="A21" s="27" t="s">
        <v>12</v>
      </c>
      <c r="B21" s="27"/>
      <c r="C21" s="7" t="s">
        <v>20</v>
      </c>
      <c r="D21" s="7" t="s">
        <v>3</v>
      </c>
      <c r="E21" s="7" t="s">
        <v>4</v>
      </c>
    </row>
    <row r="22" spans="1:5" x14ac:dyDescent="0.25">
      <c r="A22" s="23" t="s">
        <v>21</v>
      </c>
      <c r="B22" s="23"/>
      <c r="C22">
        <v>200</v>
      </c>
      <c r="D22">
        <v>3</v>
      </c>
      <c r="E22">
        <v>600</v>
      </c>
    </row>
    <row r="23" spans="1:5" x14ac:dyDescent="0.25">
      <c r="A23" s="23" t="s">
        <v>22</v>
      </c>
      <c r="B23" s="23"/>
      <c r="C23">
        <v>250</v>
      </c>
      <c r="D23">
        <v>3</v>
      </c>
      <c r="E23">
        <v>750</v>
      </c>
    </row>
    <row r="24" spans="1:5" x14ac:dyDescent="0.25">
      <c r="A24" s="26" t="s">
        <v>23</v>
      </c>
      <c r="B24" s="26"/>
      <c r="C24" s="7" t="s">
        <v>24</v>
      </c>
      <c r="D24" s="7" t="s">
        <v>24</v>
      </c>
      <c r="E24" s="7">
        <v>0</v>
      </c>
    </row>
    <row r="25" spans="1:5" x14ac:dyDescent="0.25">
      <c r="A25" s="24" t="s">
        <v>25</v>
      </c>
      <c r="B25" s="24"/>
      <c r="C25" s="7"/>
      <c r="D25" s="7"/>
      <c r="E25" s="25">
        <v>1350</v>
      </c>
    </row>
    <row r="26" spans="1:5" x14ac:dyDescent="0.25">
      <c r="A26" s="22"/>
      <c r="B26" s="22"/>
      <c r="C26" s="22"/>
      <c r="D26" s="22"/>
      <c r="E26" s="22"/>
    </row>
    <row r="27" spans="1:5" x14ac:dyDescent="0.25">
      <c r="A27" s="2" t="s">
        <v>26</v>
      </c>
      <c r="B27" s="2"/>
      <c r="C27" s="2"/>
      <c r="D27" s="2"/>
      <c r="E27" s="2"/>
    </row>
    <row r="28" spans="1:5" x14ac:dyDescent="0.25">
      <c r="A28" s="2" t="s">
        <v>27</v>
      </c>
      <c r="B28" s="2"/>
      <c r="C28" s="2"/>
      <c r="D28" s="2"/>
      <c r="E28" s="1" t="s">
        <v>28</v>
      </c>
    </row>
    <row r="29" spans="1:5" x14ac:dyDescent="0.25">
      <c r="A29" s="23" t="s">
        <v>29</v>
      </c>
      <c r="B29" s="23"/>
      <c r="C29" s="23"/>
      <c r="D29" s="23"/>
      <c r="E29" s="3">
        <v>2500</v>
      </c>
    </row>
    <row r="30" spans="1:5" x14ac:dyDescent="0.25">
      <c r="A30" s="23" t="s">
        <v>30</v>
      </c>
      <c r="B30" s="23"/>
      <c r="C30" s="23"/>
      <c r="D30" s="23"/>
      <c r="E30" s="3">
        <v>1500</v>
      </c>
    </row>
    <row r="31" spans="1:5" x14ac:dyDescent="0.25">
      <c r="A31" s="23" t="s">
        <v>31</v>
      </c>
      <c r="B31" s="23"/>
      <c r="C31" s="23"/>
      <c r="D31" s="23"/>
      <c r="E31" s="3">
        <v>2000</v>
      </c>
    </row>
    <row r="32" spans="1:5" x14ac:dyDescent="0.25">
      <c r="A32" s="23" t="s">
        <v>32</v>
      </c>
      <c r="B32" s="23"/>
      <c r="C32" s="23"/>
      <c r="D32" s="23"/>
      <c r="E32" s="3">
        <v>7000</v>
      </c>
    </row>
    <row r="33" spans="1:5" x14ac:dyDescent="0.25">
      <c r="A33" s="24" t="s">
        <v>33</v>
      </c>
      <c r="B33" s="24"/>
      <c r="C33" s="24"/>
      <c r="D33" s="24"/>
      <c r="E33" s="9">
        <v>13000</v>
      </c>
    </row>
    <row r="34" spans="1:5" x14ac:dyDescent="0.25">
      <c r="A34" s="29"/>
      <c r="B34" s="29"/>
      <c r="C34" s="29"/>
      <c r="D34" s="29"/>
      <c r="E34" s="29"/>
    </row>
    <row r="37" spans="1:5" ht="15.75" thickBot="1" x14ac:dyDescent="0.3"/>
    <row r="38" spans="1:5" ht="15.75" thickBot="1" x14ac:dyDescent="0.3">
      <c r="A38" s="38" t="s">
        <v>27</v>
      </c>
      <c r="B38" s="39" t="s">
        <v>28</v>
      </c>
      <c r="C38" s="40" t="s">
        <v>37</v>
      </c>
      <c r="D38" s="40"/>
      <c r="E38" s="41"/>
    </row>
    <row r="39" spans="1:5" ht="30" customHeight="1" x14ac:dyDescent="0.25">
      <c r="A39" s="30" t="s">
        <v>38</v>
      </c>
      <c r="B39" s="31">
        <v>153250</v>
      </c>
      <c r="C39" s="32" t="s">
        <v>39</v>
      </c>
      <c r="D39" s="32"/>
      <c r="E39" s="33"/>
    </row>
    <row r="40" spans="1:5" ht="29.25" customHeight="1" x14ac:dyDescent="0.25">
      <c r="A40" s="30" t="s">
        <v>40</v>
      </c>
      <c r="B40" s="31">
        <v>22987.5</v>
      </c>
      <c r="C40" s="32" t="s">
        <v>41</v>
      </c>
      <c r="D40" s="32"/>
      <c r="E40" s="33"/>
    </row>
    <row r="41" spans="1:5" ht="34.5" customHeight="1" x14ac:dyDescent="0.25">
      <c r="A41" s="30" t="s">
        <v>42</v>
      </c>
      <c r="B41" s="31">
        <v>17623.75</v>
      </c>
      <c r="C41" s="32" t="s">
        <v>43</v>
      </c>
      <c r="D41" s="32"/>
      <c r="E41" s="33"/>
    </row>
    <row r="42" spans="1:5" ht="15.75" thickBot="1" x14ac:dyDescent="0.3">
      <c r="A42" s="34" t="s">
        <v>44</v>
      </c>
      <c r="B42" s="35">
        <v>193861.25</v>
      </c>
      <c r="C42" s="36" t="s">
        <v>45</v>
      </c>
      <c r="D42" s="36"/>
      <c r="E42" s="37"/>
    </row>
    <row r="44" spans="1:5" ht="15.75" thickBot="1" x14ac:dyDescent="0.3"/>
    <row r="45" spans="1:5" ht="15.75" thickBot="1" x14ac:dyDescent="0.3">
      <c r="A45" s="46" t="s">
        <v>46</v>
      </c>
      <c r="B45" s="40"/>
      <c r="C45" s="41"/>
    </row>
    <row r="46" spans="1:5" ht="15.75" thickBot="1" x14ac:dyDescent="0.3">
      <c r="A46" s="38" t="s">
        <v>27</v>
      </c>
      <c r="B46" s="39" t="s">
        <v>47</v>
      </c>
      <c r="C46" s="47" t="s">
        <v>48</v>
      </c>
    </row>
    <row r="47" spans="1:5" x14ac:dyDescent="0.25">
      <c r="A47" s="30" t="s">
        <v>38</v>
      </c>
      <c r="B47" s="42">
        <v>1</v>
      </c>
      <c r="C47" s="43">
        <v>0</v>
      </c>
    </row>
    <row r="48" spans="1:5" x14ac:dyDescent="0.25">
      <c r="A48" s="30" t="s">
        <v>49</v>
      </c>
      <c r="B48" s="42">
        <v>1</v>
      </c>
      <c r="C48" s="43">
        <v>0</v>
      </c>
    </row>
    <row r="49" spans="1:3" ht="15.75" thickBot="1" x14ac:dyDescent="0.3">
      <c r="A49" s="34" t="s">
        <v>50</v>
      </c>
      <c r="B49" s="44">
        <v>1</v>
      </c>
      <c r="C49" s="45">
        <v>0</v>
      </c>
    </row>
  </sheetData>
  <mergeCells count="21">
    <mergeCell ref="C41:E41"/>
    <mergeCell ref="C42:E42"/>
    <mergeCell ref="A45:C45"/>
    <mergeCell ref="A31:D31"/>
    <mergeCell ref="A32:D32"/>
    <mergeCell ref="A33:D33"/>
    <mergeCell ref="C38:E38"/>
    <mergeCell ref="C39:E39"/>
    <mergeCell ref="C40:E40"/>
    <mergeCell ref="A24:B24"/>
    <mergeCell ref="A25:B25"/>
    <mergeCell ref="A27:E27"/>
    <mergeCell ref="A28:D28"/>
    <mergeCell ref="A29:D29"/>
    <mergeCell ref="A30:D30"/>
    <mergeCell ref="A1:E1"/>
    <mergeCell ref="A11:E11"/>
    <mergeCell ref="A20:E20"/>
    <mergeCell ref="A21:B21"/>
    <mergeCell ref="A22:B22"/>
    <mergeCell ref="A23:B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HUANCAYO</dc:creator>
  <cp:lastModifiedBy>ESTUDIANTE HUANCAYO</cp:lastModifiedBy>
  <dcterms:created xsi:type="dcterms:W3CDTF">2025-08-27T23:16:23Z</dcterms:created>
  <dcterms:modified xsi:type="dcterms:W3CDTF">2025-08-27T23:29:20Z</dcterms:modified>
</cp:coreProperties>
</file>